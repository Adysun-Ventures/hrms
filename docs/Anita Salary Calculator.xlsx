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ary Sheet" sheetId="1" r:id="rId4"/>
  </sheets>
  <definedNames/>
  <calcPr/>
  <extLst>
    <ext uri="GoogleSheetsCustomDataVersion2">
      <go:sheetsCustomData xmlns:go="http://customooxmlschemas.google.com/" r:id="rId5" roundtripDataChecksum="WEXLZgJmZd6AdjiEEAof7M7lQBIUexqx/EZkAjrlIzo="/>
    </ext>
  </extLst>
</workbook>
</file>

<file path=xl/sharedStrings.xml><?xml version="1.0" encoding="utf-8"?>
<sst xmlns="http://schemas.openxmlformats.org/spreadsheetml/2006/main" count="25" uniqueCount="25">
  <si>
    <t>Input Fields</t>
  </si>
  <si>
    <t>CTC</t>
  </si>
  <si>
    <t>Fixed Pay</t>
  </si>
  <si>
    <t>Variable Pay</t>
  </si>
  <si>
    <t>Per Month</t>
  </si>
  <si>
    <t>Per Day</t>
  </si>
  <si>
    <t>Month</t>
  </si>
  <si>
    <t>Work Days</t>
  </si>
  <si>
    <t>Leave Count</t>
  </si>
  <si>
    <t>Basic</t>
  </si>
  <si>
    <t>HRA</t>
  </si>
  <si>
    <t>Conveyance Allowance</t>
  </si>
  <si>
    <t>Other Allowance</t>
  </si>
  <si>
    <t>Gross Salary (A)</t>
  </si>
  <si>
    <t>PT (DEDUCT)</t>
  </si>
  <si>
    <t>Leaves Deduct Amt</t>
  </si>
  <si>
    <t>Total Deduction (B)</t>
  </si>
  <si>
    <t>Net Saalry (InHand)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</si>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</sst>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4.0"/>
    <col customWidth="1" min="3" max="3" width="11.57"/>
    <col customWidth="1" min="4" max="7" width="22.0"/>
    <col customWidth="1" min="8" max="8" width="15.29"/>
    <col customWidth="1" min="9" max="9" width="14.29"/>
    <col customWidth="1" min="10" max="10" width="17.14"/>
    <col customWidth="1" min="11" max="12" width="19.86"/>
    <col customWidth="1" min="13" max="29" width="8.7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 t="s">
        <v>1</v>
      </c>
      <c r="B2" s="3">
        <v>800000.0</v>
      </c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2" t="s">
        <v>2</v>
      </c>
      <c r="B3" s="3">
        <v>720000.0</v>
      </c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2" t="s">
        <v>3</v>
      </c>
      <c r="B4" s="4">
        <f>(B2-B3)</f>
        <v>80000</v>
      </c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2"/>
      <c r="B5" s="4"/>
      <c r="C5" s="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5" t="s">
        <v>4</v>
      </c>
      <c r="B8" s="1">
        <f>B3/12</f>
        <v>60000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5" t="s">
        <v>5</v>
      </c>
      <c r="B9" s="1">
        <f>B8/30</f>
        <v>2000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6" t="s">
        <v>6</v>
      </c>
      <c r="B11" s="6" t="s">
        <v>7</v>
      </c>
      <c r="C11" s="6" t="s">
        <v>8</v>
      </c>
      <c r="D11" s="6" t="s">
        <v>9</v>
      </c>
      <c r="E11" s="6" t="s">
        <v>10</v>
      </c>
      <c r="F11" s="6" t="s">
        <v>11</v>
      </c>
      <c r="G11" s="6" t="s">
        <v>12</v>
      </c>
      <c r="H11" s="6" t="s">
        <v>13</v>
      </c>
      <c r="I11" s="6" t="s">
        <v>14</v>
      </c>
      <c r="J11" s="6" t="s">
        <v>15</v>
      </c>
      <c r="K11" s="6" t="s">
        <v>16</v>
      </c>
      <c r="L11" s="6" t="s">
        <v>17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4" t="s">
        <v>18</v>
      </c>
      <c r="B12" s="1">
        <f t="shared" ref="B12:B18" si="1">(30-C12)</f>
        <v>28</v>
      </c>
      <c r="C12" s="3">
        <v>2.0</v>
      </c>
      <c r="D12" s="1">
        <f>0.4 * B8</f>
        <v>24000</v>
      </c>
      <c r="E12" s="1">
        <f>0.4 * D12</f>
        <v>9600</v>
      </c>
      <c r="F12" s="1">
        <f>0.05 * B8</f>
        <v>3000</v>
      </c>
      <c r="G12" s="1">
        <f>B8 - (D12 + E12 + F12)</f>
        <v>23400</v>
      </c>
      <c r="H12" s="1">
        <f t="shared" ref="H12:H18" si="2">SUM(D12:G12)
</f>
        <v>60000</v>
      </c>
      <c r="I12" s="4">
        <v>200.0</v>
      </c>
      <c r="J12" s="1">
        <f>(C12*B9)</f>
        <v>4000</v>
      </c>
      <c r="K12" s="1">
        <f t="shared" ref="K12:K18" si="3">(I12+J12)</f>
        <v>4200</v>
      </c>
      <c r="L12" s="1">
        <f t="shared" ref="L12:L18" si="4">(H12-K12)</f>
        <v>55800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4" t="s">
        <v>19</v>
      </c>
      <c r="B13" s="1">
        <f t="shared" si="1"/>
        <v>29</v>
      </c>
      <c r="C13" s="3">
        <v>1.0</v>
      </c>
      <c r="D13" s="4">
        <f>0.4 * B8</f>
        <v>24000</v>
      </c>
      <c r="E13" s="1">
        <f>0.4 * D12</f>
        <v>9600</v>
      </c>
      <c r="F13" s="1">
        <f>0.05 * B8</f>
        <v>3000</v>
      </c>
      <c r="G13" s="1">
        <f>B8 - (D13 + E13 + F13)</f>
        <v>23400</v>
      </c>
      <c r="H13" s="1">
        <f t="shared" si="2"/>
        <v>60000</v>
      </c>
      <c r="I13" s="4">
        <v>200.0</v>
      </c>
      <c r="J13" s="1">
        <f>(C13*B9)</f>
        <v>2000</v>
      </c>
      <c r="K13" s="1">
        <f t="shared" si="3"/>
        <v>2200</v>
      </c>
      <c r="L13" s="1">
        <f t="shared" si="4"/>
        <v>57800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4" t="s">
        <v>20</v>
      </c>
      <c r="B14" s="1">
        <f t="shared" si="1"/>
        <v>29</v>
      </c>
      <c r="C14" s="3">
        <v>1.0</v>
      </c>
      <c r="D14" s="4">
        <f>0.4 * B8</f>
        <v>24000</v>
      </c>
      <c r="E14" s="1">
        <f>0.4 * D12</f>
        <v>9600</v>
      </c>
      <c r="F14" s="1">
        <f>0.05 * B8</f>
        <v>3000</v>
      </c>
      <c r="G14" s="1">
        <f>B8 - (D14 + E14 + F14)</f>
        <v>23400</v>
      </c>
      <c r="H14" s="1">
        <f t="shared" si="2"/>
        <v>60000</v>
      </c>
      <c r="I14" s="4">
        <v>200.0</v>
      </c>
      <c r="J14" s="1">
        <f>(C14*B9)</f>
        <v>2000</v>
      </c>
      <c r="K14" s="1">
        <f t="shared" si="3"/>
        <v>2200</v>
      </c>
      <c r="L14" s="1">
        <f t="shared" si="4"/>
        <v>57800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4" t="s">
        <v>21</v>
      </c>
      <c r="B15" s="1">
        <f t="shared" si="1"/>
        <v>30</v>
      </c>
      <c r="C15" s="3">
        <v>0.0</v>
      </c>
      <c r="D15" s="4">
        <f>0.4 * B8</f>
        <v>24000</v>
      </c>
      <c r="E15" s="1">
        <f>0.4 * D12</f>
        <v>9600</v>
      </c>
      <c r="F15" s="1">
        <f>0.05 * B8</f>
        <v>3000</v>
      </c>
      <c r="G15" s="1">
        <f>B8 - (D15 + E15 + F15)</f>
        <v>23400</v>
      </c>
      <c r="H15" s="1">
        <f t="shared" si="2"/>
        <v>60000</v>
      </c>
      <c r="I15" s="4">
        <v>200.0</v>
      </c>
      <c r="J15" s="1">
        <f>(C15*B9)</f>
        <v>0</v>
      </c>
      <c r="K15" s="1">
        <f t="shared" si="3"/>
        <v>200</v>
      </c>
      <c r="L15" s="1">
        <f t="shared" si="4"/>
        <v>59800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4" t="s">
        <v>22</v>
      </c>
      <c r="B16" s="1">
        <f t="shared" si="1"/>
        <v>30</v>
      </c>
      <c r="C16" s="3">
        <v>0.0</v>
      </c>
      <c r="D16" s="4">
        <f>0.4 * B8</f>
        <v>24000</v>
      </c>
      <c r="E16" s="1">
        <f>0.4 * D12</f>
        <v>9600</v>
      </c>
      <c r="F16" s="1">
        <f>0.05 * B8</f>
        <v>3000</v>
      </c>
      <c r="G16" s="1">
        <f>B8 - (D16 + E16 + F16)</f>
        <v>23400</v>
      </c>
      <c r="H16" s="1">
        <f t="shared" si="2"/>
        <v>60000</v>
      </c>
      <c r="I16" s="4">
        <v>200.0</v>
      </c>
      <c r="J16" s="1">
        <f>(C16*B9)</f>
        <v>0</v>
      </c>
      <c r="K16" s="1">
        <f t="shared" si="3"/>
        <v>200</v>
      </c>
      <c r="L16" s="1">
        <f t="shared" si="4"/>
        <v>59800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4" t="s">
        <v>23</v>
      </c>
      <c r="B17" s="1">
        <f t="shared" si="1"/>
        <v>30</v>
      </c>
      <c r="C17" s="3">
        <v>0.0</v>
      </c>
      <c r="D17" s="4">
        <f>0.4 * B8</f>
        <v>24000</v>
      </c>
      <c r="E17" s="1">
        <f>0.4 * D12</f>
        <v>9600</v>
      </c>
      <c r="F17" s="1">
        <f>0.05 * B8</f>
        <v>3000</v>
      </c>
      <c r="G17" s="1">
        <f>B8 - (D17 + E17 + F17)</f>
        <v>23400</v>
      </c>
      <c r="H17" s="1">
        <f t="shared" si="2"/>
        <v>60000</v>
      </c>
      <c r="I17" s="4">
        <v>200.0</v>
      </c>
      <c r="J17" s="1">
        <f>(C17*B9)</f>
        <v>0</v>
      </c>
      <c r="K17" s="1">
        <f t="shared" si="3"/>
        <v>200</v>
      </c>
      <c r="L17" s="1">
        <f t="shared" si="4"/>
        <v>59800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4" t="s">
        <v>24</v>
      </c>
      <c r="B18" s="1">
        <f t="shared" si="1"/>
        <v>30</v>
      </c>
      <c r="C18" s="3">
        <v>0.0</v>
      </c>
      <c r="D18" s="4">
        <f>0.4 * B8</f>
        <v>24000</v>
      </c>
      <c r="E18" s="1">
        <f>0.4 * D12</f>
        <v>9600</v>
      </c>
      <c r="F18" s="1">
        <f>0.05 * B8</f>
        <v>3000</v>
      </c>
      <c r="G18" s="1">
        <f>B8 - (D18 + E18 + F18)</f>
        <v>23400</v>
      </c>
      <c r="H18" s="1">
        <f t="shared" si="2"/>
        <v>60000</v>
      </c>
      <c r="I18" s="4">
        <v>200.0</v>
      </c>
      <c r="J18" s="1">
        <f>(C18*B9)</f>
        <v>0</v>
      </c>
      <c r="K18" s="1">
        <f t="shared" si="3"/>
        <v>200</v>
      </c>
      <c r="L18" s="1">
        <f t="shared" si="4"/>
        <v>59800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4"/>
      <c r="B19" s="1"/>
      <c r="C19" s="1"/>
      <c r="D19" s="1"/>
      <c r="E19" s="1"/>
      <c r="F19" s="1"/>
      <c r="G19" s="1"/>
      <c r="H19" s="1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"/>
      <c r="B20" s="1"/>
      <c r="C20" s="1"/>
      <c r="D20" s="1"/>
      <c r="E20" s="1"/>
      <c r="F20" s="1"/>
      <c r="G20" s="1"/>
      <c r="H20" s="1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2025-12-05T12:25:02Z</dcterms:created>
  <dc:creator>openpyxl</dc:creator>
</cp:coreProperties>
</file>